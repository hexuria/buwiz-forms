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p 2026 payroll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17" customWidth="1"/>
    <col min="3" max="3" width="12" customWidth="1"/>
    <col min="4" max="4" width="13" customWidth="1"/>
    <col min="5" max="5" width="12" customWidth="1"/>
    <col min="6" max="6" width="14" customWidth="1"/>
    <col min="7" max="7" width="9" customWidth="1"/>
    <col min="8" max="8" width="11" customWidth="1"/>
    <col min="9" max="9" width="10" customWidth="1"/>
    <col min="10" max="10" width="14" customWidth="1"/>
    <col min="11" max="11" width="14" customWidth="1"/>
    <col min="12" max="12" width="12" customWidth="1"/>
  </cols>
  <sheetData>
    <row r="1">
      <c r="A1" t="inlineStr" s="1">
        <is>
          <t xml:space="preserve">Dela Cruz Jane - Payroll, September 2026 (BIR Form 1601-C)</t>
        </is>
      </c>
    </row>
    <row r="2">
      <c r="A2" t="inlineStr">
        <is>
          <t xml:space="preserve">TIN 123-456-789-00000 - SAMPLE DATA: every name and amount is made up.</t>
        </is>
      </c>
    </row>
    <row r="3">
      <c r="A3" t="inlineStr">
        <is>
          <t xml:space="preserve">No minimum wage earners. No 13th month pay this month. Tax withheld per the BIR withholding tax table (monthly).</t>
        </is>
      </c>
    </row>
    <row r="4"/>
    <row r="5">
      <c r="A5" t="inlineStr" s="1">
        <is>
          <t xml:space="preserve">Employee</t>
        </is>
      </c>
      <c r="B5" t="inlineStr" s="1">
        <is>
          <t xml:space="preserve">Position</t>
        </is>
      </c>
      <c r="C5" t="inlineStr" s="1">
        <is>
          <t xml:space="preserve">Basic pay</t>
        </is>
      </c>
      <c r="D5" t="inlineStr" s="1">
        <is>
          <t xml:space="preserve">Overtime pay</t>
        </is>
      </c>
      <c r="E5" t="inlineStr" s="1">
        <is>
          <t xml:space="preserve">De minimis benefits</t>
        </is>
      </c>
      <c r="F5" t="inlineStr" s="1">
        <is>
          <t xml:space="preserve">Gross compensation</t>
        </is>
      </c>
      <c r="G5" t="inlineStr" s="1">
        <is>
          <t xml:space="preserve">SSS</t>
        </is>
      </c>
      <c r="H5" t="inlineStr" s="1">
        <is>
          <t xml:space="preserve">PhilHealth</t>
        </is>
      </c>
      <c r="I5" t="inlineStr" s="1">
        <is>
          <t xml:space="preserve">Pag-IBIG</t>
        </is>
      </c>
      <c r="J5" t="inlineStr" s="1">
        <is>
          <t xml:space="preserve">Statutory contributions</t>
        </is>
      </c>
      <c r="K5" t="inlineStr" s="1">
        <is>
          <t xml:space="preserve">Taxable compensation</t>
        </is>
      </c>
      <c r="L5" t="inlineStr" s="1">
        <is>
          <t xml:space="preserve">Tax withheld</t>
        </is>
      </c>
    </row>
    <row r="6">
      <c r="A6" t="inlineStr">
        <is>
          <t xml:space="preserve">Santos, Maria</t>
        </is>
      </c>
      <c r="B6" t="inlineStr">
        <is>
          <t xml:space="preserve">Store supervisor</t>
        </is>
      </c>
      <c r="C6" s="2">
        <v>35000</v>
      </c>
      <c r="D6" s="2">
        <v>0</v>
      </c>
      <c r="E6" s="2">
        <v>2000</v>
      </c>
      <c r="F6" s="2">
        <f>C6+D6+E6</f>
        <v>37000</v>
      </c>
      <c r="G6" s="2">
        <v>1000</v>
      </c>
      <c r="H6" s="2">
        <v>875</v>
      </c>
      <c r="I6" s="2">
        <v>200</v>
      </c>
      <c r="J6" s="2">
        <f>G6+H6+I6</f>
        <v>2075</v>
      </c>
      <c r="K6" s="2">
        <f>F6-E6-J6</f>
        <v>32925</v>
      </c>
      <c r="L6" s="2">
        <v>1813.8</v>
      </c>
    </row>
    <row r="7">
      <c r="A7" t="inlineStr">
        <is>
          <t xml:space="preserve">Reyes, Jose</t>
        </is>
      </c>
      <c r="B7" t="inlineStr">
        <is>
          <t xml:space="preserve">Cashier</t>
        </is>
      </c>
      <c r="C7" s="2">
        <v>22000</v>
      </c>
      <c r="D7" s="2">
        <v>0</v>
      </c>
      <c r="E7" s="2">
        <v>1500</v>
      </c>
      <c r="F7" s="2">
        <f>C7+D7+E7</f>
        <v>23500</v>
      </c>
      <c r="G7" s="2">
        <v>1100</v>
      </c>
      <c r="H7" s="2">
        <v>550</v>
      </c>
      <c r="I7" s="2">
        <v>200</v>
      </c>
      <c r="J7" s="2">
        <f>G7+H7+I7</f>
        <v>1850</v>
      </c>
      <c r="K7" s="2">
        <f>F7-E7-J7</f>
        <v>20150</v>
      </c>
      <c r="L7" s="2">
        <v>0.0</v>
      </c>
    </row>
    <row r="8">
      <c r="A8" t="inlineStr">
        <is>
          <t xml:space="preserve">Cruz, Ana</t>
        </is>
      </c>
      <c r="B8" t="inlineStr">
        <is>
          <t xml:space="preserve">Bookkeeper</t>
        </is>
      </c>
      <c r="C8" s="2">
        <v>28000</v>
      </c>
      <c r="D8" s="2">
        <v>0</v>
      </c>
      <c r="E8" s="2">
        <v>1500</v>
      </c>
      <c r="F8" s="2">
        <f>C8+D8+E8</f>
        <v>29500</v>
      </c>
      <c r="G8" s="2">
        <v>1250</v>
      </c>
      <c r="H8" s="2">
        <v>700</v>
      </c>
      <c r="I8" s="2">
        <v>200</v>
      </c>
      <c r="J8" s="2">
        <f>G8+H8+I8</f>
        <v>2150</v>
      </c>
      <c r="K8" s="2">
        <f>F8-E8-J8</f>
        <v>25850</v>
      </c>
      <c r="L8" s="2">
        <v>752.55</v>
      </c>
    </row>
    <row r="9">
      <c r="A9" t="inlineStr">
        <is>
          <t xml:space="preserve">Bautista, Pedro</t>
        </is>
      </c>
      <c r="B9" t="inlineStr">
        <is>
          <t xml:space="preserve">Delivery driver</t>
        </is>
      </c>
      <c r="C9" s="2">
        <v>21000</v>
      </c>
      <c r="D9" s="2">
        <v>1800</v>
      </c>
      <c r="E9" s="2">
        <v>1000</v>
      </c>
      <c r="F9" s="2">
        <f>C9+D9+E9</f>
        <v>23800</v>
      </c>
      <c r="G9" s="2">
        <v>1050</v>
      </c>
      <c r="H9" s="2">
        <v>525</v>
      </c>
      <c r="I9" s="2">
        <v>200</v>
      </c>
      <c r="J9" s="2">
        <f>G9+H9+I9</f>
        <v>1775</v>
      </c>
      <c r="K9" s="2">
        <f>F9-E9-J9</f>
        <v>21025</v>
      </c>
      <c r="L9" s="2">
        <v>28.8</v>
      </c>
    </row>
    <row r="10">
      <c r="A10" t="inlineStr">
        <is>
          <t xml:space="preserve">Mendoza, Liza</t>
        </is>
      </c>
      <c r="B10" t="inlineStr">
        <is>
          <t xml:space="preserve">Sales associate</t>
        </is>
      </c>
      <c r="C10" s="2">
        <v>20000</v>
      </c>
      <c r="D10" s="2">
        <v>0</v>
      </c>
      <c r="E10" s="2">
        <v>1000</v>
      </c>
      <c r="F10" s="2">
        <f>C10+D10+E10</f>
        <v>21000</v>
      </c>
      <c r="G10" s="2">
        <v>1000</v>
      </c>
      <c r="H10" s="2">
        <v>500</v>
      </c>
      <c r="I10" s="2">
        <v>200</v>
      </c>
      <c r="J10" s="2">
        <f>G10+H10+I10</f>
        <v>1700</v>
      </c>
      <c r="K10" s="2">
        <f>F10-E10-J10</f>
        <v>18300</v>
      </c>
      <c r="L10" s="2">
        <v>0.0</v>
      </c>
    </row>
    <row r="11">
      <c r="A11" t="inlineStr" s="1">
        <is>
          <t xml:space="preserve">Total</t>
        </is>
      </c>
      <c r="C11" s="3">
        <f>SUM(C6:C10)</f>
        <v>126000.0</v>
      </c>
      <c r="D11" s="3">
        <f>SUM(D6:D10)</f>
        <v>1800.0</v>
      </c>
      <c r="E11" s="3">
        <f>SUM(E6:E10)</f>
        <v>7000.0</v>
      </c>
      <c r="F11" s="3">
        <f>SUM(F6:F10)</f>
        <v>134800.0</v>
      </c>
      <c r="G11" s="3">
        <f>SUM(G6:G10)</f>
        <v>5400.0</v>
      </c>
      <c r="H11" s="3">
        <f>SUM(H6:H10)</f>
        <v>3150.0</v>
      </c>
      <c r="I11" s="3">
        <f>SUM(I6:I10)</f>
        <v>1000.0</v>
      </c>
      <c r="J11" s="3">
        <f>SUM(J6:J10)</f>
        <v>9550.0</v>
      </c>
      <c r="K11" s="3">
        <f>SUM(K6:K10)</f>
        <v>118250.0</v>
      </c>
      <c r="L11" s="3">
        <f>SUM(L6:L10)</f>
        <v>2595.15</v>
      </c>
    </row>
  </sheetData>
</worksheet>
</file>